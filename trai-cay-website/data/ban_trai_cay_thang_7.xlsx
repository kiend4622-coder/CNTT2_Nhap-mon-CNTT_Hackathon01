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o trung kien\Downloads\starter-kit\starter-kit\trai-cay-website\data\"/>
    </mc:Choice>
  </mc:AlternateContent>
  <xr:revisionPtr revIDLastSave="0" documentId="13_ncr:1_{A617E048-0FF0-4B6B-9E11-4E46DFD27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TraiCay" sheetId="1" r:id="rId1"/>
    <sheet name="TraiCay" sheetId="2" r:id="rId2"/>
  </sheets>
  <definedNames>
    <definedName name="_xlnm._FilterDatabase" localSheetId="0" hidden="1">BanTraiCay!$A$1:$G$16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<sst xmlns="http://schemas.openxmlformats.org/spreadsheetml/2006/main" count="69" uniqueCount="51">
  <si>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ma_hdb</t>
  </si>
  <si>
    <t>ngay_ban</t>
  </si>
  <si>
    <t>ma_tc</t>
  </si>
  <si>
    <t>so_kg</t>
  </si>
  <si>
    <t>ten_trai_cay</t>
  </si>
  <si>
    <t>gia_moi_kg</t>
  </si>
  <si>
    <t>tien_hang</t>
  </si>
  <si>
    <t>HDB001</t>
  </si>
  <si>
    <t>2026-07-01</t>
  </si>
  <si>
    <t>TC04</t>
  </si>
  <si>
    <t>HDB002</t>
  </si>
  <si>
    <t>2026-07-02</t>
  </si>
  <si>
    <t>TC02</t>
  </si>
  <si>
    <t>HDB003</t>
  </si>
  <si>
    <t>2026-07-03</t>
  </si>
  <si>
    <t>TC05</t>
  </si>
  <si>
    <t>HDB004</t>
  </si>
  <si>
    <t>2026-07-04</t>
  </si>
  <si>
    <t>TC07</t>
  </si>
  <si>
    <t>HDB005</t>
  </si>
  <si>
    <t>2026-07-05</t>
  </si>
  <si>
    <t>HDB006</t>
  </si>
  <si>
    <t>2026-07-06</t>
  </si>
  <si>
    <t>HDB007</t>
  </si>
  <si>
    <t>2026-07-07</t>
  </si>
  <si>
    <t>TC06</t>
  </si>
  <si>
    <t>HDB008</t>
  </si>
  <si>
    <t>2026-07-08</t>
  </si>
  <si>
    <t>HDB009</t>
  </si>
  <si>
    <t>2026-07-09</t>
  </si>
  <si>
    <t>HDB010</t>
  </si>
  <si>
    <t>2026-07-10</t>
  </si>
  <si>
    <t>HDB011</t>
  </si>
  <si>
    <t>2026-07-11</t>
  </si>
  <si>
    <t>HDB012</t>
  </si>
  <si>
    <t>2026-07-12</t>
  </si>
  <si>
    <t>HDB013</t>
  </si>
  <si>
    <t>2026-07-13</t>
  </si>
  <si>
    <t>TC01</t>
  </si>
  <si>
    <t>HDB014</t>
  </si>
  <si>
    <t>2026-07-14</t>
  </si>
  <si>
    <t>TC03</t>
  </si>
  <si>
    <t>HDB015</t>
  </si>
  <si>
    <t>2026-07-15</t>
  </si>
  <si>
    <t>Cam sanh</t>
  </si>
  <si>
    <t>Xoai cat</t>
  </si>
  <si>
    <t>Nho xanh</t>
  </si>
  <si>
    <t>Tao My</t>
  </si>
  <si>
    <t>Buoi da xanh</t>
  </si>
  <si>
    <t>Le Han Quoc</t>
  </si>
  <si>
    <t>Dua 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</si>
</sst>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H10" sqref="H10"/>
    </sheetView>
  </sheetViews>
  <sheetFormatPr defaultRowHeight="15" x14ac:dyDescent="0.25"/>
  <cols>
    <col min="1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</v>
      </c>
      <c r="E2" t="str">
        <f>VLOOKUP(C2,TraiCay!$A$1:$C$8,2,FALSE)</f>
        <v>Tao My</v>
      </c>
      <c r="F2">
        <f>VLOOKUP(C2,TraiCay!$A$1:$C$8,3,FALSE)</f>
        <v>90000</v>
      </c>
      <c r="G2">
        <f>D2*F2</f>
        <v>450000</v>
      </c>
    </row>
    <row r="3" spans="1:7" x14ac:dyDescent="0.25">
      <c r="A3" t="s">
        <v>10</v>
      </c>
      <c r="B3" t="s">
        <v>11</v>
      </c>
      <c r="C3" t="s">
        <v>12</v>
      </c>
      <c r="D3">
        <v>4</v>
      </c>
      <c r="E3" t="str">
        <f>VLOOKUP(C3,TraiCay!$A$1:$C$8,2,FALSE)</f>
        <v>Xoai cat</v>
      </c>
      <c r="F3">
        <f>VLOOKUP(C3,TraiCay!$A$1:$C$8,3,FALSE)</f>
        <v>60000</v>
      </c>
      <c r="G3">
        <f t="shared" ref="G3:G16" si="0">D3*F3</f>
        <v>240000</v>
      </c>
    </row>
    <row r="4" spans="1:7" x14ac:dyDescent="0.25">
      <c r="A4" t="s">
        <v>13</v>
      </c>
      <c r="B4" t="s">
        <v>14</v>
      </c>
      <c r="C4" t="s">
        <v>15</v>
      </c>
      <c r="D4">
        <v>5</v>
      </c>
      <c r="E4" t="str">
        <f>VLOOKUP(C4,TraiCay!$A$1:$C$8,2,FALSE)</f>
        <v>Buoi da xanh</v>
      </c>
      <c r="F4">
        <f>VLOOKUP(C4,TraiCay!$A$1:$C$8,3,FALSE)</f>
        <v>50000</v>
      </c>
      <c r="G4">
        <f t="shared" si="0"/>
        <v>250000</v>
      </c>
    </row>
    <row r="5" spans="1:7" hidden="1" x14ac:dyDescent="0.25">
      <c r="A5" t="s">
        <v>16</v>
      </c>
      <c r="B5" t="s">
        <v>17</v>
      </c>
      <c r="C5" t="s">
        <v>18</v>
      </c>
      <c r="D5">
        <v>2</v>
      </c>
      <c r="E5" t="str">
        <f>VLOOKUP(C5,TraiCay!$A$1:$C$8,2,FALSE)</f>
        <v>Dua hau</v>
      </c>
      <c r="F5">
        <f>VLOOKUP(C5,TraiCay!$A$1:$C$8,3,FALSE)</f>
        <v>20000</v>
      </c>
      <c r="G5">
        <f t="shared" si="0"/>
        <v>40000</v>
      </c>
    </row>
    <row r="6" spans="1:7" hidden="1" x14ac:dyDescent="0.25">
      <c r="A6" t="s">
        <v>19</v>
      </c>
      <c r="B6" t="s">
        <v>20</v>
      </c>
      <c r="C6" t="s">
        <v>12</v>
      </c>
      <c r="D6">
        <v>2</v>
      </c>
      <c r="E6" t="str">
        <f>VLOOKUP(C6,TraiCay!$A$1:$C$8,2,FALSE)</f>
        <v>Xoai cat</v>
      </c>
      <c r="F6">
        <f>VLOOKUP(C6,TraiCay!$A$1:$C$8,3,FALSE)</f>
        <v>60000</v>
      </c>
      <c r="G6">
        <f t="shared" si="0"/>
        <v>120000</v>
      </c>
    </row>
    <row r="7" spans="1:7" hidden="1" x14ac:dyDescent="0.25">
      <c r="A7" t="s">
        <v>21</v>
      </c>
      <c r="B7" t="s">
        <v>22</v>
      </c>
      <c r="C7" t="s">
        <v>18</v>
      </c>
      <c r="D7">
        <v>2</v>
      </c>
      <c r="E7" t="str">
        <f>VLOOKUP(C7,TraiCay!$A$1:$C$8,2,FALSE)</f>
        <v>Dua hau</v>
      </c>
      <c r="F7">
        <f>VLOOKUP(C7,TraiCay!$A$1:$C$8,3,FALSE)</f>
        <v>20000</v>
      </c>
      <c r="G7">
        <f t="shared" si="0"/>
        <v>40000</v>
      </c>
    </row>
    <row r="8" spans="1:7" x14ac:dyDescent="0.25">
      <c r="A8" t="s">
        <v>23</v>
      </c>
      <c r="B8" t="s">
        <v>24</v>
      </c>
      <c r="C8" t="s">
        <v>25</v>
      </c>
      <c r="D8">
        <v>5</v>
      </c>
      <c r="E8" t="str">
        <f>VLOOKUP(C8,TraiCay!$A$1:$C$8,2,FALSE)</f>
        <v>Le Han Quoc</v>
      </c>
      <c r="F8">
        <f>VLOOKUP(C8,TraiCay!$A$1:$C$8,3,FALSE)</f>
        <v>80000</v>
      </c>
      <c r="G8">
        <f t="shared" si="0"/>
        <v>400000</v>
      </c>
    </row>
    <row r="9" spans="1:7" x14ac:dyDescent="0.25">
      <c r="A9" t="s">
        <v>26</v>
      </c>
      <c r="B9" t="s">
        <v>27</v>
      </c>
      <c r="C9" t="s">
        <v>12</v>
      </c>
      <c r="D9">
        <v>5</v>
      </c>
      <c r="E9" t="str">
        <f>VLOOKUP(C9,TraiCay!$A$1:$C$8,2,FALSE)</f>
        <v>Xoai cat</v>
      </c>
      <c r="F9">
        <f>VLOOKUP(C9,TraiCay!$A$1:$C$8,3,FALSE)</f>
        <v>60000</v>
      </c>
      <c r="G9">
        <f t="shared" si="0"/>
        <v>300000</v>
      </c>
    </row>
    <row r="10" spans="1:7" hidden="1" x14ac:dyDescent="0.25">
      <c r="A10" t="s">
        <v>28</v>
      </c>
      <c r="B10" t="s">
        <v>29</v>
      </c>
      <c r="C10" t="s">
        <v>12</v>
      </c>
      <c r="D10">
        <v>1</v>
      </c>
      <c r="E10" t="str">
        <f>VLOOKUP(C10,TraiCay!$A$1:$C$8,2,FALSE)</f>
        <v>Xoai cat</v>
      </c>
      <c r="F10">
        <f>VLOOKUP(C10,TraiCay!$A$1:$C$8,3,FALSE)</f>
        <v>60000</v>
      </c>
      <c r="G10">
        <f t="shared" si="0"/>
        <v>60000</v>
      </c>
    </row>
    <row r="11" spans="1:7" x14ac:dyDescent="0.25">
      <c r="A11" t="s">
        <v>30</v>
      </c>
      <c r="B11" t="s">
        <v>31</v>
      </c>
      <c r="C11" t="s">
        <v>25</v>
      </c>
      <c r="D11">
        <v>5</v>
      </c>
      <c r="E11" t="str">
        <f>VLOOKUP(C11,TraiCay!$A$1:$C$8,2,FALSE)</f>
        <v>Le Han Quoc</v>
      </c>
      <c r="F11">
        <f>VLOOKUP(C11,TraiCay!$A$1:$C$8,3,FALSE)</f>
        <v>80000</v>
      </c>
      <c r="G11">
        <f t="shared" si="0"/>
        <v>400000</v>
      </c>
    </row>
    <row r="12" spans="1:7" hidden="1" x14ac:dyDescent="0.25">
      <c r="A12" t="s">
        <v>32</v>
      </c>
      <c r="B12" t="s">
        <v>33</v>
      </c>
      <c r="C12" t="s">
        <v>15</v>
      </c>
      <c r="D12">
        <v>3</v>
      </c>
      <c r="E12" t="str">
        <f>VLOOKUP(C12,TraiCay!$A$1:$C$8,2,FALSE)</f>
        <v>Buoi da xanh</v>
      </c>
      <c r="F12">
        <f>VLOOKUP(C12,TraiCay!$A$1:$C$8,3,FALSE)</f>
        <v>50000</v>
      </c>
      <c r="G12">
        <f t="shared" si="0"/>
        <v>150000</v>
      </c>
    </row>
    <row r="13" spans="1:7" hidden="1" x14ac:dyDescent="0.25">
      <c r="A13" t="s">
        <v>34</v>
      </c>
      <c r="B13" t="s">
        <v>35</v>
      </c>
      <c r="C13" t="s">
        <v>18</v>
      </c>
      <c r="D13">
        <v>1</v>
      </c>
      <c r="E13" t="str">
        <f>VLOOKUP(C13,TraiCay!$A$1:$C$8,2,FALSE)</f>
        <v>Dua hau</v>
      </c>
      <c r="F13">
        <f>VLOOKUP(C13,TraiCay!$A$1:$C$8,3,FALSE)</f>
        <v>20000</v>
      </c>
      <c r="G13">
        <f t="shared" si="0"/>
        <v>20000</v>
      </c>
    </row>
    <row r="14" spans="1:7" hidden="1" x14ac:dyDescent="0.25">
      <c r="A14" t="s">
        <v>36</v>
      </c>
      <c r="B14" t="s">
        <v>37</v>
      </c>
      <c r="C14" t="s">
        <v>38</v>
      </c>
      <c r="D14">
        <v>4</v>
      </c>
      <c r="E14" t="str">
        <f>VLOOKUP(C14,TraiCay!$A$1:$C$8,2,FALSE)</f>
        <v>Cam sanh</v>
      </c>
      <c r="F14">
        <f>VLOOKUP(C14,TraiCay!$A$1:$C$8,3,FALSE)</f>
        <v>35000</v>
      </c>
      <c r="G14">
        <f t="shared" si="0"/>
        <v>140000</v>
      </c>
    </row>
    <row r="15" spans="1:7" x14ac:dyDescent="0.25">
      <c r="A15" t="s">
        <v>39</v>
      </c>
      <c r="B15" t="s">
        <v>40</v>
      </c>
      <c r="C15" t="s">
        <v>41</v>
      </c>
      <c r="D15">
        <v>4</v>
      </c>
      <c r="E15" t="str">
        <f>VLOOKUP(C15,TraiCay!$A$1:$C$8,2,FALSE)</f>
        <v>Nho xanh</v>
      </c>
      <c r="F15">
        <f>VLOOKUP(C15,TraiCay!$A$1:$C$8,3,FALSE)</f>
        <v>120000</v>
      </c>
      <c r="G15">
        <f t="shared" si="0"/>
        <v>480000</v>
      </c>
    </row>
    <row r="16" spans="1:7" hidden="1" x14ac:dyDescent="0.25">
      <c r="A16" t="s">
        <v>42</v>
      </c>
      <c r="B16" t="s">
        <v>43</v>
      </c>
      <c r="C16" t="s">
        <v>38</v>
      </c>
      <c r="D16">
        <v>2</v>
      </c>
      <c r="E16" t="str">
        <f>VLOOKUP(C16,TraiCay!$A$1:$C$8,2,FALSE)</f>
        <v>Cam sanh</v>
      </c>
      <c r="F16">
        <f>VLOOKUP(C16,TraiCay!$A$1:$C$8,3,FALSE)</f>
        <v>35000</v>
      </c>
      <c r="G16">
        <f t="shared" si="0"/>
        <v>70000</v>
      </c>
    </row>
  </sheetData>
  <autoFilter ref="A1:G16" xr:uid="{00000000-0001-0000-0000-000000000000}">
    <filterColumn colId="6">
      <customFilters>
        <customFilter operator="greaterThanOrEqual" val="24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D3" sqref="D3"/>
    </sheetView>
  </sheetViews>
  <sheetFormatPr defaultRowHeight="15" x14ac:dyDescent="0.25"/>
  <cols>
    <col min="1" max="7" width="1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38</v>
      </c>
      <c r="B2" t="s">
        <v>44</v>
      </c>
      <c r="C2">
        <v>35000</v>
      </c>
    </row>
    <row r="3" spans="1:3" x14ac:dyDescent="0.25">
      <c r="A3" t="s">
        <v>12</v>
      </c>
      <c r="B3" t="s">
        <v>45</v>
      </c>
      <c r="C3">
        <v>60000</v>
      </c>
    </row>
    <row r="4" spans="1:3" x14ac:dyDescent="0.25">
      <c r="A4" t="s">
        <v>41</v>
      </c>
      <c r="B4" t="s">
        <v>46</v>
      </c>
      <c r="C4">
        <v>120000</v>
      </c>
    </row>
    <row r="5" spans="1:3" x14ac:dyDescent="0.25">
      <c r="A5" t="s">
        <v>9</v>
      </c>
      <c r="B5" t="s">
        <v>47</v>
      </c>
      <c r="C5">
        <v>90000</v>
      </c>
    </row>
    <row r="6" spans="1:3" x14ac:dyDescent="0.25">
      <c r="A6" t="s">
        <v>15</v>
      </c>
      <c r="B6" t="s">
        <v>48</v>
      </c>
      <c r="C6">
        <v>50000</v>
      </c>
    </row>
    <row r="7" spans="1:3" x14ac:dyDescent="0.25">
      <c r="A7" t="s">
        <v>25</v>
      </c>
      <c r="B7" t="s">
        <v>49</v>
      </c>
      <c r="C7">
        <v>80000</v>
      </c>
    </row>
    <row r="8" spans="1:3" x14ac:dyDescent="0.25">
      <c r="A8" t="s">
        <v>18</v>
      </c>
      <c r="B8" t="s">
        <v>50</v>
      </c>
      <c r="C8">
        <v>20000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BanTraiCay</vt:lpstr>
      <vt:lpstr>TraiCay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Kiên Đỗ</cp:lastModifiedBy>
  <dcterms:created xsi:type="dcterms:W3CDTF">2026-10-27T01:32:27Z</dcterms:created>
  <dcterms:modified xsi:type="dcterms:W3CDTF">2026-10-28T07:42:41Z</dcterms:modified>
</cp:coreProperties>
</file>